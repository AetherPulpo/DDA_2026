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estria\DDA\DDA_2026\Unidad04_Bloques_basicos_digitales\Lab04\"/>
    </mc:Choice>
  </mc:AlternateContent>
  <xr:revisionPtr revIDLastSave="0" documentId="13_ncr:1_{5ABAF544-0EAC-4B2F-AD23-66ED4030E7A1}" xr6:coauthVersionLast="47" xr6:coauthVersionMax="47" xr10:uidLastSave="{00000000-0000-0000-0000-000000000000}"/>
  <bookViews>
    <workbookView xWindow="25490" yWindow="-2330" windowWidth="38620" windowHeight="21100" tabRatio="500" activeTab="5" xr2:uid="{00000000-000D-0000-FFFF-FFFF00000000}"/>
  </bookViews>
  <sheets>
    <sheet name="Celdas_Adders" sheetId="1" r:id="rId1"/>
    <sheet name="Celdas_Mult" sheetId="3" r:id="rId2"/>
    <sheet name="Celdas_Filters" sheetId="5" r:id="rId3"/>
    <sheet name="WNS_Frecuencia_Adders" sheetId="2" r:id="rId4"/>
    <sheet name="WNS_Frecuencia_Multipliers" sheetId="4" r:id="rId5"/>
    <sheet name="WNS_Frecuencia_Filter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6" l="1"/>
  <c r="U4" i="6" s="1"/>
  <c r="T3" i="6"/>
  <c r="U3" i="6" s="1"/>
  <c r="U2" i="6"/>
  <c r="T2" i="6"/>
  <c r="P2" i="6"/>
  <c r="Q2" i="6"/>
  <c r="P4" i="6"/>
  <c r="Q4" i="6" s="1"/>
  <c r="P3" i="6"/>
  <c r="Q3" i="6" s="1"/>
  <c r="F14" i="5"/>
  <c r="E14" i="5"/>
  <c r="E4" i="6"/>
  <c r="D4" i="6"/>
  <c r="L4" i="6"/>
  <c r="M4" i="6" s="1"/>
  <c r="H4" i="6"/>
  <c r="I4" i="6" s="1"/>
  <c r="L3" i="6"/>
  <c r="M3" i="6" s="1"/>
  <c r="H3" i="6"/>
  <c r="I3" i="6" s="1"/>
  <c r="D3" i="6"/>
  <c r="E3" i="6" s="1"/>
  <c r="L2" i="6"/>
  <c r="M2" i="6" s="1"/>
  <c r="H2" i="6"/>
  <c r="I2" i="6" s="1"/>
  <c r="D2" i="6"/>
  <c r="E2" i="6" s="1"/>
  <c r="D14" i="5"/>
  <c r="C14" i="5"/>
  <c r="B14" i="5"/>
  <c r="H4" i="4"/>
  <c r="I4" i="4" s="1"/>
  <c r="D4" i="4"/>
  <c r="E4" i="4" s="1"/>
  <c r="H3" i="4"/>
  <c r="I3" i="4" s="1"/>
  <c r="D3" i="4"/>
  <c r="E3" i="4" s="1"/>
  <c r="H2" i="4"/>
  <c r="I2" i="4" s="1"/>
  <c r="D2" i="4"/>
  <c r="E2" i="4" s="1"/>
  <c r="C12" i="3"/>
  <c r="B12" i="3"/>
  <c r="L4" i="2"/>
  <c r="M4" i="2" s="1"/>
  <c r="H4" i="2"/>
  <c r="I4" i="2" s="1"/>
  <c r="D4" i="2"/>
  <c r="E4" i="2" s="1"/>
  <c r="L3" i="2"/>
  <c r="M3" i="2" s="1"/>
  <c r="H3" i="2"/>
  <c r="I3" i="2" s="1"/>
  <c r="D3" i="2"/>
  <c r="E3" i="2" s="1"/>
  <c r="L2" i="2"/>
  <c r="M2" i="2" s="1"/>
  <c r="H2" i="2"/>
  <c r="I2" i="2" s="1"/>
  <c r="D2" i="2"/>
  <c r="E2" i="2" s="1"/>
  <c r="D12" i="1"/>
  <c r="C12" i="1"/>
  <c r="B12" i="1"/>
</calcChain>
</file>

<file path=xl/sharedStrings.xml><?xml version="1.0" encoding="utf-8"?>
<sst xmlns="http://schemas.openxmlformats.org/spreadsheetml/2006/main" count="100" uniqueCount="60">
  <si>
    <t>Tipo de celda</t>
  </si>
  <si>
    <t>RCA</t>
  </si>
  <si>
    <t>HCSA</t>
  </si>
  <si>
    <t>BCLA</t>
  </si>
  <si>
    <t>FDRE</t>
  </si>
  <si>
    <t>IBUF</t>
  </si>
  <si>
    <t>OBUF</t>
  </si>
  <si>
    <t>LUT2</t>
  </si>
  <si>
    <t>LUT3</t>
  </si>
  <si>
    <t>LUT4</t>
  </si>
  <si>
    <t>LUT5</t>
  </si>
  <si>
    <t>LUT6</t>
  </si>
  <si>
    <t>CARRY4</t>
  </si>
  <si>
    <t>BUFG</t>
  </si>
  <si>
    <t>TOTAL</t>
  </si>
  <si>
    <t>Escenario</t>
  </si>
  <si>
    <t>RCA - WNS (ns)</t>
  </si>
  <si>
    <t>RCA - Periodo objetivo (ns)</t>
  </si>
  <si>
    <t>RCA - Delay critico (ns)</t>
  </si>
  <si>
    <t>RCA - Fmax (MHz)</t>
  </si>
  <si>
    <t>HCSA - WNS (ns)</t>
  </si>
  <si>
    <t>HCSA - Periodo objetivo (ns)</t>
  </si>
  <si>
    <t>HCSA - Delay critico (ns)</t>
  </si>
  <si>
    <t>HCSA - Fmax (MHz)</t>
  </si>
  <si>
    <t>BCLA - WNS (ns)</t>
  </si>
  <si>
    <t>BCLA - Periodo objetivo (ns)</t>
  </si>
  <si>
    <t>BCLA - Delay critico (ns)</t>
  </si>
  <si>
    <t>BCLA - Fmax (MHz)</t>
  </si>
  <si>
    <t>50 MHz</t>
  </si>
  <si>
    <t>100 MHz</t>
  </si>
  <si>
    <t>200 MHz</t>
  </si>
  <si>
    <t>Mult</t>
  </si>
  <si>
    <t>BoothMult</t>
  </si>
  <si>
    <t>MULT - WNS (ns)</t>
  </si>
  <si>
    <t>MULT - Periodo objetivo (ns)</t>
  </si>
  <si>
    <t>MULT - Delay critico (ns)</t>
  </si>
  <si>
    <t>MULT - Fmax (MHz)</t>
  </si>
  <si>
    <t>BoothMult - WNS (ns)</t>
  </si>
  <si>
    <t>BoothMult - Periodo objetivo (ns)</t>
  </si>
  <si>
    <t>BoothMult - Delay critico (ns)</t>
  </si>
  <si>
    <t>BoothMult - Fmax (MHz)</t>
  </si>
  <si>
    <t>FIRfilter</t>
  </si>
  <si>
    <t>LUT1</t>
  </si>
  <si>
    <t>DSP48E1</t>
  </si>
  <si>
    <t>FIRfilter - WNS (ns)</t>
  </si>
  <si>
    <t>FIRfilter - Periodo objetivo (ns)</t>
  </si>
  <si>
    <t>FIRfilter - Delay critico (ns)</t>
  </si>
  <si>
    <t>FIRfilter - Fmax (MHz)</t>
  </si>
  <si>
    <t>CSD</t>
  </si>
  <si>
    <t>CSD- WNS (ns)</t>
  </si>
  <si>
    <t>CSD - Periodo objetivo (ns)</t>
  </si>
  <si>
    <t>CSD - Delay critico (ns)</t>
  </si>
  <si>
    <t>CSD - Fmax (MHz)</t>
  </si>
  <si>
    <t>CV</t>
  </si>
  <si>
    <t>DA</t>
  </si>
  <si>
    <t>TDF</t>
  </si>
  <si>
    <t>CV - WNS (ns)</t>
  </si>
  <si>
    <t>CV - Periodo objetivo (ns)</t>
  </si>
  <si>
    <t>CV - Delay critico (ns)</t>
  </si>
  <si>
    <t>CV - Fmax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</si>
</sst>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3D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Celdas_Adders!$B$1</c:f>
              <c:strCache>
                <c:ptCount val="1"/>
                <c:pt idx="0">
                  <c:v>RCA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DA-46D2-AC47-C7F12BEE60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DA-46D2-AC47-C7F12BEE60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DA-46D2-AC47-C7F12BEE60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DA-46D2-AC47-C7F12BEE60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DA-46D2-AC47-C7F12BEE60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DA-46D2-AC47-C7F12BEE60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(Celdas_Adders!$A$2:$A$5,Celdas_Adders!$A$10:$A$11)</c:f>
              <c:strCache>
                <c:ptCount val="6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CARRY4</c:v>
                </c:pt>
                <c:pt idx="5">
                  <c:v>BUFG</c:v>
                </c:pt>
              </c:strCache>
            </c:strRef>
          </c:cat>
          <c:val>
            <c:numRef>
              <c:f>(Celdas_Adders!$B$2:$B$5,Celdas_Adders!$B$10:$B$11)</c:f>
              <c:numCache>
                <c:formatCode>General</c:formatCode>
                <c:ptCount val="6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16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3D0-A84B-B293ACFCB47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Celdas_Adders!$C$1</c:f>
              <c:strCache>
                <c:ptCount val="1"/>
                <c:pt idx="0">
                  <c:v>HCSA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4EA-4DB8-990A-C3EC79D7E9A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4EA-4DB8-990A-C3EC79D7E9A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4EA-4DB8-990A-C3EC79D7E9A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4EA-4DB8-990A-C3EC79D7E9A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04EA-4DB8-990A-C3EC79D7E9A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04EA-4DB8-990A-C3EC79D7E9AF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04EA-4DB8-990A-C3EC79D7E9AF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04EA-4DB8-990A-C3EC79D7E9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(Celdas_Adders!$A$2:$A$6,Celdas_Adders!$A$8:$A$9,Celdas_Adders!$A$11)</c:f>
              <c:strCache>
                <c:ptCount val="8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LUT5</c:v>
                </c:pt>
                <c:pt idx="6">
                  <c:v>LUT6</c:v>
                </c:pt>
                <c:pt idx="7">
                  <c:v>BUFG</c:v>
                </c:pt>
              </c:strCache>
            </c:strRef>
          </c:cat>
          <c:val>
            <c:numRef>
              <c:f>(Celdas_Adders!$C$2:$C$6,Celdas_Adders!$C$8:$C$9,Celdas_Adders!$C$11)</c:f>
              <c:numCache>
                <c:formatCode>General</c:formatCode>
                <c:ptCount val="8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2-4940-A791-53E5A0B9B6A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Celdas_Adders!$D$1</c:f>
              <c:strCache>
                <c:ptCount val="1"/>
                <c:pt idx="0">
                  <c:v>BCLA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B-49AF-8ABF-DDE64919ECA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2B-49AF-8ABF-DDE64919ECA9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2B-49AF-8ABF-DDE64919ECA9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2B-49AF-8ABF-DDE64919ECA9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2B-49AF-8ABF-DDE64919ECA9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2B-49AF-8ABF-DDE64919ECA9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2B-49AF-8ABF-DDE64919ECA9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shade val="51000"/>
                    </a:schemeClr>
                  </a:gs>
                  <a:gs pos="80000">
                    <a:schemeClr val="accent2">
                      <a:lumMod val="60000"/>
                      <a:shade val="93000"/>
                    </a:schemeClr>
                  </a:gs>
                  <a:gs pos="100000">
                    <a:schemeClr val="accent2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2B-49AF-8ABF-DDE64919ECA9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shade val="51000"/>
                    </a:schemeClr>
                  </a:gs>
                  <a:gs pos="80000">
                    <a:schemeClr val="accent3">
                      <a:lumMod val="60000"/>
                      <a:shade val="93000"/>
                    </a:schemeClr>
                  </a:gs>
                  <a:gs pos="100000">
                    <a:schemeClr val="accent3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42B-49AF-8ABF-DDE64919EC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(Celdas_Adders!$A$2:$A$9,Celdas_Adders!$A$11)</c:f>
              <c:strCache>
                <c:ptCount val="9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BUFG</c:v>
                </c:pt>
              </c:strCache>
            </c:strRef>
          </c:cat>
          <c:val>
            <c:numRef>
              <c:f>(Celdas_Adders!$D$2:$D$9,Celdas_Adders!$D$11)</c:f>
              <c:numCache>
                <c:formatCode>General</c:formatCode>
                <c:ptCount val="9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17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D-4243-A063-F3DE349BF83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Adders - Celdas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Celdas_Adders!$B$1</c:f>
              <c:strCache>
                <c:ptCount val="1"/>
                <c:pt idx="0">
                  <c:v>RCA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Celdas_Adders!$A$2:$A$12</c:f>
              <c:strCache>
                <c:ptCount val="11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  <c:pt idx="10">
                  <c:v>TOTAL</c:v>
                </c:pt>
              </c:strCache>
            </c:strRef>
          </c:cat>
          <c:val>
            <c:numRef>
              <c:f>Celdas_Adders!$B$2:$B$12</c:f>
              <c:numCache>
                <c:formatCode>General</c:formatCode>
                <c:ptCount val="11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E-46C4-AB5E-AB6CB4FCFD4B}"/>
            </c:ext>
          </c:extLst>
        </c:ser>
        <c:ser>
          <c:idx val="1"/>
          <c:order val="1"/>
          <c:tx>
            <c:strRef>
              <c:f>Celdas_Adders!$C$1</c:f>
              <c:strCache>
                <c:ptCount val="1"/>
                <c:pt idx="0">
                  <c:v>HCSA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Celdas_Adders!$A$2:$A$12</c:f>
              <c:strCache>
                <c:ptCount val="11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  <c:pt idx="10">
                  <c:v>TOTAL</c:v>
                </c:pt>
              </c:strCache>
            </c:strRef>
          </c:cat>
          <c:val>
            <c:numRef>
              <c:f>Celdas_Adders!$C$2:$C$12</c:f>
              <c:numCache>
                <c:formatCode>General</c:formatCode>
                <c:ptCount val="11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4</c:v>
                </c:pt>
                <c:pt idx="4">
                  <c:v>8</c:v>
                </c:pt>
                <c:pt idx="5">
                  <c:v>0</c:v>
                </c:pt>
                <c:pt idx="6">
                  <c:v>12</c:v>
                </c:pt>
                <c:pt idx="7">
                  <c:v>12</c:v>
                </c:pt>
                <c:pt idx="8">
                  <c:v>0</c:v>
                </c:pt>
                <c:pt idx="9">
                  <c:v>1</c:v>
                </c:pt>
                <c:pt idx="10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E-46C4-AB5E-AB6CB4FCFD4B}"/>
            </c:ext>
          </c:extLst>
        </c:ser>
        <c:ser>
          <c:idx val="2"/>
          <c:order val="2"/>
          <c:tx>
            <c:strRef>
              <c:f>Celdas_Adders!$D$1</c:f>
              <c:strCache>
                <c:ptCount val="1"/>
                <c:pt idx="0">
                  <c:v>BCLA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Celdas_Adders!$A$2:$A$12</c:f>
              <c:strCache>
                <c:ptCount val="11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  <c:pt idx="10">
                  <c:v>TOTAL</c:v>
                </c:pt>
              </c:strCache>
            </c:strRef>
          </c:cat>
          <c:val>
            <c:numRef>
              <c:f>Celdas_Adders!$D$2:$D$12</c:f>
              <c:numCache>
                <c:formatCode>General</c:formatCode>
                <c:ptCount val="11"/>
                <c:pt idx="0">
                  <c:v>50</c:v>
                </c:pt>
                <c:pt idx="1">
                  <c:v>34</c:v>
                </c:pt>
                <c:pt idx="2">
                  <c:v>17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17</c:v>
                </c:pt>
                <c:pt idx="7">
                  <c:v>7</c:v>
                </c:pt>
                <c:pt idx="8">
                  <c:v>0</c:v>
                </c:pt>
                <c:pt idx="9">
                  <c:v>1</c:v>
                </c:pt>
                <c:pt idx="10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BE-46C4-AB5E-AB6CB4FC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5027119"/>
        <c:axId val="1795038159"/>
      </c:barChart>
      <c:catAx>
        <c:axId val="179502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38159"/>
        <c:crosses val="autoZero"/>
        <c:auto val="1"/>
        <c:lblAlgn val="ctr"/>
        <c:lblOffset val="100"/>
        <c:noMultiLvlLbl val="0"/>
      </c:catAx>
      <c:valAx>
        <c:axId val="179503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2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Multipliers - Celdas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Celdas_Mult!$B$1</c:f>
              <c:strCache>
                <c:ptCount val="1"/>
                <c:pt idx="0">
                  <c:v>Mult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Celdas_Mult!$A$2:$A$12</c:f>
              <c:strCache>
                <c:ptCount val="11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  <c:pt idx="10">
                  <c:v>TOTAL</c:v>
                </c:pt>
              </c:strCache>
            </c:strRef>
          </c:cat>
          <c:val>
            <c:numRef>
              <c:f>Celdas_Mult!$B$2:$B$12</c:f>
              <c:numCache>
                <c:formatCode>General</c:formatCode>
                <c:ptCount val="11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15</c:v>
                </c:pt>
                <c:pt idx="4">
                  <c:v>2</c:v>
                </c:pt>
                <c:pt idx="5">
                  <c:v>8</c:v>
                </c:pt>
                <c:pt idx="6">
                  <c:v>0</c:v>
                </c:pt>
                <c:pt idx="7">
                  <c:v>18</c:v>
                </c:pt>
                <c:pt idx="8">
                  <c:v>7</c:v>
                </c:pt>
                <c:pt idx="9">
                  <c:v>1</c:v>
                </c:pt>
                <c:pt idx="1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5-4451-9E04-0BB9B21A7798}"/>
            </c:ext>
          </c:extLst>
        </c:ser>
        <c:ser>
          <c:idx val="1"/>
          <c:order val="1"/>
          <c:tx>
            <c:strRef>
              <c:f>Celdas_Mult!$C$1</c:f>
              <c:strCache>
                <c:ptCount val="1"/>
                <c:pt idx="0">
                  <c:v>BoothMult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Celdas_Mult!$A$2:$A$12</c:f>
              <c:strCache>
                <c:ptCount val="11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  <c:pt idx="10">
                  <c:v>TOTAL</c:v>
                </c:pt>
              </c:strCache>
            </c:strRef>
          </c:cat>
          <c:val>
            <c:numRef>
              <c:f>Celdas_Mult!$C$2:$C$12</c:f>
              <c:numCache>
                <c:formatCode>General</c:formatCode>
                <c:ptCount val="11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13</c:v>
                </c:pt>
                <c:pt idx="7">
                  <c:v>15</c:v>
                </c:pt>
                <c:pt idx="8">
                  <c:v>3</c:v>
                </c:pt>
                <c:pt idx="9">
                  <c:v>1</c:v>
                </c:pt>
                <c:pt idx="1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5-4451-9E04-0BB9B21A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5036719"/>
        <c:axId val="1795036239"/>
      </c:barChart>
      <c:catAx>
        <c:axId val="179503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36239"/>
        <c:crosses val="autoZero"/>
        <c:auto val="1"/>
        <c:lblAlgn val="ctr"/>
        <c:lblOffset val="100"/>
        <c:noMultiLvlLbl val="0"/>
      </c:catAx>
      <c:valAx>
        <c:axId val="179503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Celdas_Mult!$B$1</c:f>
              <c:strCache>
                <c:ptCount val="1"/>
                <c:pt idx="0">
                  <c:v>Mult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87-4D6E-B2A5-4BEC36F0A8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87-4D6E-B2A5-4BEC36F0A8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87-4D6E-B2A5-4BEC36F0A8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87-4D6E-B2A5-4BEC36F0A8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87-4D6E-B2A5-4BEC36F0A8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87-4D6E-B2A5-4BEC36F0A8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7-4D6E-B2A5-4BEC36F0A8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16-41F3-A6ED-23CD32EE07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887-4D6E-B2A5-4BEC36F0A8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887-4D6E-B2A5-4BEC36F0A878}"/>
              </c:ext>
            </c:extLst>
          </c:dPt>
          <c:dLbls>
            <c:dLbl>
              <c:idx val="7"/>
              <c:layout>
                <c:manualLayout>
                  <c:x val="8.7636701662292208E-3"/>
                  <c:y val="1.757072032662583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16-41F3-A6ED-23CD32EE07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Celdas_Mult!$A$2:$A$11</c:f>
              <c:strCache>
                <c:ptCount val="10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</c:strCache>
            </c:strRef>
          </c:cat>
          <c:val>
            <c:numRef>
              <c:f>Celdas_Mult!$B$2:$B$11</c:f>
              <c:numCache>
                <c:formatCode>General</c:formatCode>
                <c:ptCount val="10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15</c:v>
                </c:pt>
                <c:pt idx="4">
                  <c:v>2</c:v>
                </c:pt>
                <c:pt idx="5">
                  <c:v>8</c:v>
                </c:pt>
                <c:pt idx="6">
                  <c:v>0</c:v>
                </c:pt>
                <c:pt idx="7">
                  <c:v>18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6-41F3-A6ED-23CD32EE07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Celdas_Mult!$C$1</c:f>
              <c:strCache>
                <c:ptCount val="1"/>
                <c:pt idx="0">
                  <c:v>BoothMult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1C-4E01-AF73-7EFD4CA26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1C-4E01-AF73-7EFD4CA26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1C-4E01-AF73-7EFD4CA261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1C-4E01-AF73-7EFD4CA261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1C-4E01-AF73-7EFD4CA261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1C-4E01-AF73-7EFD4CA261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9DC-4A0D-B649-A94550F774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DC-4A0D-B649-A94550F774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1C-4E01-AF73-7EFD4CA261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1C-4E01-AF73-7EFD4CA26121}"/>
              </c:ext>
            </c:extLst>
          </c:dPt>
          <c:dLbls>
            <c:dLbl>
              <c:idx val="6"/>
              <c:layout>
                <c:manualLayout>
                  <c:x val="1.2329396325459318E-3"/>
                  <c:y val="2.78641732283464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DC-4A0D-B649-A94550F77408}"/>
                </c:ext>
              </c:extLst>
            </c:dLbl>
            <c:dLbl>
              <c:idx val="7"/>
              <c:layout>
                <c:manualLayout>
                  <c:x val="-1.4843722659667541E-2"/>
                  <c:y val="5.81692913385826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DC-4A0D-B649-A94550F77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Celdas_Mult!$A$2:$A$11</c:f>
              <c:strCache>
                <c:ptCount val="10"/>
                <c:pt idx="0">
                  <c:v>FDRE</c:v>
                </c:pt>
                <c:pt idx="1">
                  <c:v>IBUF</c:v>
                </c:pt>
                <c:pt idx="2">
                  <c:v>OBUF</c:v>
                </c:pt>
                <c:pt idx="3">
                  <c:v>LUT2</c:v>
                </c:pt>
                <c:pt idx="4">
                  <c:v>LUT3</c:v>
                </c:pt>
                <c:pt idx="5">
                  <c:v>LUT4</c:v>
                </c:pt>
                <c:pt idx="6">
                  <c:v>LUT5</c:v>
                </c:pt>
                <c:pt idx="7">
                  <c:v>LUT6</c:v>
                </c:pt>
                <c:pt idx="8">
                  <c:v>CARRY4</c:v>
                </c:pt>
                <c:pt idx="9">
                  <c:v>BUFG</c:v>
                </c:pt>
              </c:strCache>
            </c:strRef>
          </c:cat>
          <c:val>
            <c:numRef>
              <c:f>Celdas_Mult!$C$2:$C$11</c:f>
              <c:numCache>
                <c:formatCode>General</c:formatCode>
                <c:ptCount val="10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13</c:v>
                </c:pt>
                <c:pt idx="7">
                  <c:v>15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C-4A0D-B649-A94550F7740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WNS - Adders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WNS_Frecuencia_Adders!$B$1</c:f>
              <c:strCache>
                <c:ptCount val="1"/>
                <c:pt idx="0">
                  <c:v>RCA - WNS (ns)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WNS_Frecuencia_Adders!$A$2:$A$4</c:f>
              <c:strCache>
                <c:ptCount val="3"/>
                <c:pt idx="0">
                  <c:v>50 MHz</c:v>
                </c:pt>
                <c:pt idx="1">
                  <c:v>100 MHz</c:v>
                </c:pt>
                <c:pt idx="2">
                  <c:v>200 MHz</c:v>
                </c:pt>
              </c:strCache>
            </c:strRef>
          </c:cat>
          <c:val>
            <c:numRef>
              <c:f>WNS_Frecuencia_Adders!$B$2:$B$4</c:f>
              <c:numCache>
                <c:formatCode>General</c:formatCode>
                <c:ptCount val="3"/>
                <c:pt idx="0">
                  <c:v>17.300999999999998</c:v>
                </c:pt>
                <c:pt idx="1">
                  <c:v>7.3380000000000001</c:v>
                </c:pt>
                <c:pt idx="2">
                  <c:v>2.3370000000000002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B-47EC-820C-751955E242A8}"/>
            </c:ext>
          </c:extLst>
        </c:ser>
        <c:ser>
          <c:idx val="1"/>
          <c:order val="1"/>
          <c:tx>
            <c:strRef>
              <c:f>WNS_Frecuencia_Adders!$F$1</c:f>
              <c:strCache>
                <c:ptCount val="1"/>
                <c:pt idx="0">
                  <c:v>HCSA - WNS (ns)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WNS_Frecuencia_Adders!$A$2:$A$4</c:f>
              <c:strCache>
                <c:ptCount val="3"/>
                <c:pt idx="0">
                  <c:v>50 MHz</c:v>
                </c:pt>
                <c:pt idx="1">
                  <c:v>100 MHz</c:v>
                </c:pt>
                <c:pt idx="2">
                  <c:v>200 MHz</c:v>
                </c:pt>
              </c:strCache>
            </c:strRef>
          </c:cat>
          <c:val>
            <c:numRef>
              <c:f>WNS_Frecuencia_Adders!$F$2:$F$4</c:f>
              <c:numCache>
                <c:formatCode>General</c:formatCode>
                <c:ptCount val="3"/>
                <c:pt idx="0">
                  <c:v>14.173999999999999</c:v>
                </c:pt>
                <c:pt idx="1">
                  <c:v>4.4409999999999998</c:v>
                </c:pt>
                <c:pt idx="2">
                  <c:v>1.0509999999999999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B-47EC-820C-751955E242A8}"/>
            </c:ext>
          </c:extLst>
        </c:ser>
        <c:ser>
          <c:idx val="2"/>
          <c:order val="2"/>
          <c:tx>
            <c:strRef>
              <c:f>WNS_Frecuencia_Adders!$J$1</c:f>
              <c:strCache>
                <c:ptCount val="1"/>
                <c:pt idx="0">
                  <c:v>BCLA - WNS (ns)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WNS_Frecuencia_Adders!$A$2:$A$4</c:f>
              <c:strCache>
                <c:ptCount val="3"/>
                <c:pt idx="0">
                  <c:v>50 MHz</c:v>
                </c:pt>
                <c:pt idx="1">
                  <c:v>100 MHz</c:v>
                </c:pt>
                <c:pt idx="2">
                  <c:v>200 MHz</c:v>
                </c:pt>
              </c:strCache>
            </c:strRef>
          </c:cat>
          <c:val>
            <c:numRef>
              <c:f>WNS_Frecuencia_Adders!$J$2:$J$4</c:f>
              <c:numCache>
                <c:formatCode>General</c:formatCode>
                <c:ptCount val="3"/>
                <c:pt idx="0">
                  <c:v>11.715</c:v>
                </c:pt>
                <c:pt idx="1">
                  <c:v>1.9790000000000001</c:v>
                </c:pt>
                <c:pt idx="2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B-47EC-820C-751955E24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099871"/>
        <c:axId val="1799093631"/>
      </c:barChart>
      <c:catAx>
        <c:axId val="179909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93631"/>
        <c:crosses val="autoZero"/>
        <c:auto val="1"/>
        <c:lblAlgn val="ctr"/>
        <c:lblOffset val="100"/>
        <c:noMultiLvlLbl val="0"/>
      </c:catAx>
      <c:valAx>
        <c:axId val="179909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9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Multipliers</a:t>
            </a:r>
            <a:r>
              <a:rPr lang="en-US" baseline="0"/>
              <a:t> -WNS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WNS_Frecuencia_Multipliers!$B$1</c:f>
              <c:strCache>
                <c:ptCount val="1"/>
                <c:pt idx="0">
                  <c:v>MULT - WNS (ns)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WNS_Frecuencia_Multipliers!$A$2:$A$4</c:f>
              <c:strCache>
                <c:ptCount val="3"/>
                <c:pt idx="0">
                  <c:v>50 MHz</c:v>
                </c:pt>
                <c:pt idx="1">
                  <c:v>100 MHz</c:v>
                </c:pt>
                <c:pt idx="2">
                  <c:v>200 MHz</c:v>
                </c:pt>
              </c:strCache>
            </c:strRef>
          </c:cat>
          <c:val>
            <c:numRef>
              <c:f>WNS_Frecuencia_Multipliers!$B$2:$B$4</c:f>
              <c:numCache>
                <c:formatCode>General</c:formatCode>
                <c:ptCount val="3"/>
                <c:pt idx="0">
                  <c:v>14.795999999999999</c:v>
                </c:pt>
                <c:pt idx="1">
                  <c:v>4.8289999999999997</c:v>
                </c:pt>
                <c:pt idx="2">
                  <c:v>0.314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6-4C77-9618-1BFDAE929907}"/>
            </c:ext>
          </c:extLst>
        </c:ser>
        <c:ser>
          <c:idx val="1"/>
          <c:order val="1"/>
          <c:tx>
            <c:strRef>
              <c:f>WNS_Frecuencia_Multipliers!$F$1</c:f>
              <c:strCache>
                <c:ptCount val="1"/>
                <c:pt idx="0">
                  <c:v>BoothMult - WNS (ns)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WNS_Frecuencia_Multipliers!$A$2:$A$4</c:f>
              <c:strCache>
                <c:ptCount val="3"/>
                <c:pt idx="0">
                  <c:v>50 MHz</c:v>
                </c:pt>
                <c:pt idx="1">
                  <c:v>100 MHz</c:v>
                </c:pt>
                <c:pt idx="2">
                  <c:v>200 MHz</c:v>
                </c:pt>
              </c:strCache>
            </c:strRef>
          </c:cat>
          <c:val>
            <c:numRef>
              <c:f>WNS_Frecuencia_Multipliers!$F$2:$F$4</c:f>
              <c:numCache>
                <c:formatCode>General</c:formatCode>
                <c:ptCount val="3"/>
                <c:pt idx="0">
                  <c:v>14.87</c:v>
                </c:pt>
                <c:pt idx="1">
                  <c:v>4.8810000000000002</c:v>
                </c:pt>
                <c:pt idx="2">
                  <c:v>0.82799999999999996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6-4C77-9618-1BFDAE92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028559"/>
        <c:axId val="1795034319"/>
      </c:barChart>
      <c:catAx>
        <c:axId val="17950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34319"/>
        <c:crosses val="autoZero"/>
        <c:auto val="1"/>
        <c:lblAlgn val="ctr"/>
        <c:lblOffset val="100"/>
        <c:noMultiLvlLbl val="0"/>
      </c:catAx>
      <c:valAx>
        <c:axId val="179503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47625</xdr:rowOff>
    </xdr:from>
    <xdr:to>
      <xdr:col>13</xdr:col>
      <xdr:colOff>469900</xdr:colOff>
      <xdr:row>19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8F9BDF-DD88-1A36-06A7-CAA3B16D5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</xdr:colOff>
      <xdr:row>21</xdr:row>
      <xdr:rowOff>6350</xdr:rowOff>
    </xdr:from>
    <xdr:to>
      <xdr:col>13</xdr:col>
      <xdr:colOff>498475</xdr:colOff>
      <xdr:row>35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29E17E-50AA-FF36-59F3-D39EA2D1F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36</xdr:row>
      <xdr:rowOff>88900</xdr:rowOff>
    </xdr:from>
    <xdr:to>
      <xdr:col>13</xdr:col>
      <xdr:colOff>492125</xdr:colOff>
      <xdr:row>50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EA747B-4235-DD94-8234-8432C7723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454024</xdr:colOff>
      <xdr:row>8</xdr:row>
      <xdr:rowOff>149224</xdr:rowOff>
    </xdr:from>
    <xdr:to>
      <xdr:col>31</xdr:col>
      <xdr:colOff>63499</xdr:colOff>
      <xdr:row>40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1E2330-4C26-0F9D-FB8B-9501F3FA3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520700</xdr:colOff>
      <xdr:row>6</xdr:row>
      <xdr:rowOff>177800</xdr:rowOff>
    </xdr:from>
    <xdr:to>
      <xdr:col>24</xdr:col>
      <xdr:colOff>238125</xdr:colOff>
      <xdr:row>34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F08C31-C784-C4E5-17BD-6B22FC12D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282575</xdr:colOff>
      <xdr:row>9</xdr:row>
      <xdr:rowOff>133350</xdr:rowOff>
    </xdr:from>
    <xdr:to>
      <xdr:col>10</xdr:col>
      <xdr:colOff>282575</xdr:colOff>
      <xdr:row>24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1B3372-BE26-66E4-BD46-EC45738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317500</xdr:colOff>
      <xdr:row>26</xdr:row>
      <xdr:rowOff>174625</xdr:rowOff>
    </xdr:from>
    <xdr:to>
      <xdr:col>10</xdr:col>
      <xdr:colOff>317500</xdr:colOff>
      <xdr:row>41</xdr:row>
      <xdr:rowOff>60325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305D2C-BA08-2FD0-172A-6CD9040C3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288925</xdr:colOff>
      <xdr:row>6</xdr:row>
      <xdr:rowOff>177800</xdr:rowOff>
    </xdr:from>
    <xdr:to>
      <xdr:col>12</xdr:col>
      <xdr:colOff>631825</xdr:colOff>
      <xdr:row>36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E1C08-ED21-310D-028F-CE76C5575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15874</xdr:rowOff>
    </xdr:from>
    <xdr:to>
      <xdr:col>19</xdr:col>
      <xdr:colOff>714375</xdr:colOff>
      <xdr:row>30</xdr:row>
      <xdr:rowOff>111124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C0F951-8FA6-83F8-69A2-E3E07739A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>
      <selection sqref="A1:D12"/>
    </sheetView>
  </sheetViews>
  <sheetFormatPr baseColWidth="10" defaultColWidth="8.7109375" defaultRowHeight="15" x14ac:dyDescent="0.25"/>
  <cols>
    <col min="1" max="1" width="20" customWidth="1"/>
    <col min="2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50</v>
      </c>
      <c r="C2" s="2">
        <v>50</v>
      </c>
      <c r="D2" s="2">
        <v>50</v>
      </c>
    </row>
    <row r="3" spans="1:4" x14ac:dyDescent="0.25">
      <c r="A3" s="2" t="s">
        <v>5</v>
      </c>
      <c r="B3" s="2">
        <v>34</v>
      </c>
      <c r="C3" s="2">
        <v>34</v>
      </c>
      <c r="D3" s="2">
        <v>34</v>
      </c>
    </row>
    <row r="4" spans="1:4" x14ac:dyDescent="0.25">
      <c r="A4" s="2" t="s">
        <v>6</v>
      </c>
      <c r="B4" s="2">
        <v>17</v>
      </c>
      <c r="C4" s="2">
        <v>17</v>
      </c>
      <c r="D4" s="2">
        <v>17</v>
      </c>
    </row>
    <row r="5" spans="1:4" x14ac:dyDescent="0.25">
      <c r="A5" s="2" t="s">
        <v>7</v>
      </c>
      <c r="B5" s="2">
        <v>16</v>
      </c>
      <c r="C5" s="2">
        <v>4</v>
      </c>
      <c r="D5" s="2">
        <v>3</v>
      </c>
    </row>
    <row r="6" spans="1:4" x14ac:dyDescent="0.25">
      <c r="A6" s="2" t="s">
        <v>8</v>
      </c>
      <c r="B6" s="2">
        <v>0</v>
      </c>
      <c r="C6" s="2">
        <v>8</v>
      </c>
      <c r="D6" s="2">
        <v>6</v>
      </c>
    </row>
    <row r="7" spans="1:4" x14ac:dyDescent="0.25">
      <c r="A7" s="2" t="s">
        <v>9</v>
      </c>
      <c r="B7" s="2">
        <v>0</v>
      </c>
      <c r="C7" s="2">
        <v>0</v>
      </c>
      <c r="D7" s="2">
        <v>1</v>
      </c>
    </row>
    <row r="8" spans="1:4" x14ac:dyDescent="0.25">
      <c r="A8" s="2" t="s">
        <v>10</v>
      </c>
      <c r="B8" s="2">
        <v>0</v>
      </c>
      <c r="C8" s="2">
        <v>12</v>
      </c>
      <c r="D8" s="2">
        <v>17</v>
      </c>
    </row>
    <row r="9" spans="1:4" x14ac:dyDescent="0.25">
      <c r="A9" s="2" t="s">
        <v>11</v>
      </c>
      <c r="B9" s="2">
        <v>0</v>
      </c>
      <c r="C9" s="2">
        <v>12</v>
      </c>
      <c r="D9" s="2">
        <v>7</v>
      </c>
    </row>
    <row r="10" spans="1:4" x14ac:dyDescent="0.25">
      <c r="A10" s="2" t="s">
        <v>12</v>
      </c>
      <c r="B10" s="2">
        <v>5</v>
      </c>
      <c r="C10" s="2">
        <v>0</v>
      </c>
      <c r="D10" s="2">
        <v>0</v>
      </c>
    </row>
    <row r="11" spans="1:4" x14ac:dyDescent="0.25">
      <c r="A11" s="2" t="s">
        <v>13</v>
      </c>
      <c r="B11" s="2">
        <v>1</v>
      </c>
      <c r="C11" s="2">
        <v>1</v>
      </c>
      <c r="D11" s="2">
        <v>1</v>
      </c>
    </row>
    <row r="12" spans="1:4" x14ac:dyDescent="0.25">
      <c r="A12" s="3" t="s">
        <v>14</v>
      </c>
      <c r="B12" s="4">
        <f>SUM(B2:B11)</f>
        <v>123</v>
      </c>
      <c r="C12" s="4">
        <f>SUM(C2:C11)</f>
        <v>138</v>
      </c>
      <c r="D12" s="4">
        <f>SUM(D2:D11)</f>
        <v>136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F6B9-1495-4A9D-B067-20F4E55D4190}">
  <dimension ref="A1:D12"/>
  <sheetViews>
    <sheetView workbookViewId="0">
      <selection activeCell="J50" sqref="J50"/>
    </sheetView>
  </sheetViews>
  <sheetFormatPr baseColWidth="10" defaultRowHeight="15" x14ac:dyDescent="0.25"/>
  <cols>
    <col min="1" max="1" width="14.7109375" bestFit="1" customWidth="1"/>
  </cols>
  <sheetData>
    <row r="1" spans="1:4" x14ac:dyDescent="0.25">
      <c r="A1" s="1" t="s">
        <v>0</v>
      </c>
      <c r="B1" s="1" t="s">
        <v>31</v>
      </c>
      <c r="C1" s="1" t="s">
        <v>32</v>
      </c>
      <c r="D1" s="2"/>
    </row>
    <row r="2" spans="1:4" x14ac:dyDescent="0.25">
      <c r="A2" s="2" t="s">
        <v>4</v>
      </c>
      <c r="B2" s="2">
        <v>23</v>
      </c>
      <c r="C2" s="2">
        <v>23</v>
      </c>
      <c r="D2" s="2"/>
    </row>
    <row r="3" spans="1:4" x14ac:dyDescent="0.25">
      <c r="A3" s="2" t="s">
        <v>5</v>
      </c>
      <c r="B3" s="2">
        <v>13</v>
      </c>
      <c r="C3" s="2">
        <v>13</v>
      </c>
      <c r="D3" s="2"/>
    </row>
    <row r="4" spans="1:4" x14ac:dyDescent="0.25">
      <c r="A4" s="2" t="s">
        <v>6</v>
      </c>
      <c r="B4" s="2">
        <v>11</v>
      </c>
      <c r="C4" s="2">
        <v>11</v>
      </c>
      <c r="D4" s="2"/>
    </row>
    <row r="5" spans="1:4" x14ac:dyDescent="0.25">
      <c r="A5" s="2" t="s">
        <v>7</v>
      </c>
      <c r="B5" s="2">
        <v>15</v>
      </c>
      <c r="C5" s="2">
        <v>2</v>
      </c>
      <c r="D5" s="2"/>
    </row>
    <row r="6" spans="1:4" x14ac:dyDescent="0.25">
      <c r="A6" s="2" t="s">
        <v>8</v>
      </c>
      <c r="B6" s="2">
        <v>2</v>
      </c>
      <c r="C6" s="2">
        <v>4</v>
      </c>
      <c r="D6" s="2"/>
    </row>
    <row r="7" spans="1:4" x14ac:dyDescent="0.25">
      <c r="A7" s="2" t="s">
        <v>9</v>
      </c>
      <c r="B7" s="2">
        <v>8</v>
      </c>
      <c r="C7" s="2">
        <v>9</v>
      </c>
      <c r="D7" s="2"/>
    </row>
    <row r="8" spans="1:4" x14ac:dyDescent="0.25">
      <c r="A8" s="2" t="s">
        <v>10</v>
      </c>
      <c r="B8" s="2">
        <v>0</v>
      </c>
      <c r="C8" s="2">
        <v>13</v>
      </c>
      <c r="D8" s="2"/>
    </row>
    <row r="9" spans="1:4" x14ac:dyDescent="0.25">
      <c r="A9" s="2" t="s">
        <v>11</v>
      </c>
      <c r="B9" s="2">
        <v>18</v>
      </c>
      <c r="C9" s="2">
        <v>15</v>
      </c>
      <c r="D9" s="2"/>
    </row>
    <row r="10" spans="1:4" x14ac:dyDescent="0.25">
      <c r="A10" s="2" t="s">
        <v>12</v>
      </c>
      <c r="B10" s="2">
        <v>7</v>
      </c>
      <c r="C10" s="2">
        <v>3</v>
      </c>
      <c r="D10" s="2"/>
    </row>
    <row r="11" spans="1:4" x14ac:dyDescent="0.25">
      <c r="A11" s="2" t="s">
        <v>13</v>
      </c>
      <c r="B11" s="2">
        <v>1</v>
      </c>
      <c r="C11" s="2">
        <v>1</v>
      </c>
      <c r="D11" s="2"/>
    </row>
    <row r="12" spans="1:4" x14ac:dyDescent="0.25">
      <c r="A12" s="3" t="s">
        <v>14</v>
      </c>
      <c r="B12" s="4">
        <f>SUM(B2:B11)</f>
        <v>98</v>
      </c>
      <c r="C12" s="4">
        <f>SUM(C2:C11)</f>
        <v>94</v>
      </c>
      <c r="D12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A3D3-7865-4755-94D1-640A8495FD31}">
  <dimension ref="A1:F14"/>
  <sheetViews>
    <sheetView workbookViewId="0">
      <selection activeCell="D13" sqref="D13"/>
    </sheetView>
  </sheetViews>
  <sheetFormatPr baseColWidth="10" defaultRowHeight="15" x14ac:dyDescent="0.25"/>
  <cols>
    <col min="1" max="1" width="14.7109375" bestFit="1" customWidth="1"/>
  </cols>
  <sheetData>
    <row r="1" spans="1:6" x14ac:dyDescent="0.25">
      <c r="A1" s="1" t="s">
        <v>0</v>
      </c>
      <c r="B1" s="1" t="s">
        <v>41</v>
      </c>
      <c r="C1" s="1" t="s">
        <v>48</v>
      </c>
      <c r="D1" s="1" t="s">
        <v>53</v>
      </c>
      <c r="E1" s="1" t="s">
        <v>54</v>
      </c>
      <c r="F1" s="1" t="s">
        <v>55</v>
      </c>
    </row>
    <row r="2" spans="1:6" x14ac:dyDescent="0.25">
      <c r="A2" s="2" t="s">
        <v>4</v>
      </c>
      <c r="B2" s="2">
        <v>64</v>
      </c>
      <c r="C2" s="2">
        <v>138</v>
      </c>
      <c r="D2" s="2">
        <v>132</v>
      </c>
      <c r="E2" s="2"/>
      <c r="F2" s="2"/>
    </row>
    <row r="3" spans="1:6" x14ac:dyDescent="0.25">
      <c r="A3" s="2" t="s">
        <v>5</v>
      </c>
      <c r="B3" s="2">
        <v>18</v>
      </c>
      <c r="C3" s="2">
        <v>18</v>
      </c>
      <c r="D3" s="2">
        <v>18</v>
      </c>
      <c r="E3" s="2"/>
      <c r="F3" s="2"/>
    </row>
    <row r="4" spans="1:6" x14ac:dyDescent="0.25">
      <c r="A4" s="2" t="s">
        <v>6</v>
      </c>
      <c r="B4" s="2">
        <v>32</v>
      </c>
      <c r="C4" s="2">
        <v>32</v>
      </c>
      <c r="D4" s="2">
        <v>32</v>
      </c>
      <c r="E4" s="2"/>
      <c r="F4" s="2"/>
    </row>
    <row r="5" spans="1:6" x14ac:dyDescent="0.25">
      <c r="A5" s="2" t="s">
        <v>42</v>
      </c>
      <c r="B5" s="2">
        <v>1</v>
      </c>
      <c r="C5" s="2">
        <v>81</v>
      </c>
      <c r="D5" s="2">
        <v>20</v>
      </c>
      <c r="E5" s="2"/>
      <c r="F5" s="2"/>
    </row>
    <row r="6" spans="1:6" x14ac:dyDescent="0.25">
      <c r="A6" s="2" t="s">
        <v>7</v>
      </c>
      <c r="B6" s="2">
        <v>0</v>
      </c>
      <c r="C6" s="2">
        <v>37</v>
      </c>
      <c r="D6" s="2">
        <v>47</v>
      </c>
      <c r="E6" s="2"/>
      <c r="F6" s="2"/>
    </row>
    <row r="7" spans="1:6" x14ac:dyDescent="0.25">
      <c r="A7" s="2" t="s">
        <v>8</v>
      </c>
      <c r="B7" s="2">
        <v>0</v>
      </c>
      <c r="C7" s="2">
        <v>96</v>
      </c>
      <c r="D7" s="2">
        <v>91</v>
      </c>
      <c r="E7" s="2"/>
      <c r="F7" s="2"/>
    </row>
    <row r="8" spans="1:6" x14ac:dyDescent="0.25">
      <c r="A8" s="2" t="s">
        <v>9</v>
      </c>
      <c r="B8" s="2">
        <v>0</v>
      </c>
      <c r="C8" s="2">
        <v>128</v>
      </c>
      <c r="D8" s="2">
        <v>35</v>
      </c>
      <c r="E8" s="2"/>
      <c r="F8" s="2"/>
    </row>
    <row r="9" spans="1:6" x14ac:dyDescent="0.25">
      <c r="A9" s="2" t="s">
        <v>10</v>
      </c>
      <c r="B9" s="2">
        <v>0</v>
      </c>
      <c r="C9" s="2">
        <v>92</v>
      </c>
      <c r="D9" s="2">
        <v>40</v>
      </c>
      <c r="E9" s="2"/>
      <c r="F9" s="2"/>
    </row>
    <row r="10" spans="1:6" x14ac:dyDescent="0.25">
      <c r="A10" s="2" t="s">
        <v>11</v>
      </c>
      <c r="B10" s="2">
        <v>0</v>
      </c>
      <c r="C10" s="2">
        <v>93</v>
      </c>
      <c r="D10" s="2">
        <v>85</v>
      </c>
      <c r="E10" s="2"/>
      <c r="F10" s="2"/>
    </row>
    <row r="11" spans="1:6" x14ac:dyDescent="0.25">
      <c r="A11" s="2" t="s">
        <v>12</v>
      </c>
      <c r="B11" s="2">
        <v>5</v>
      </c>
      <c r="C11" s="2">
        <v>78</v>
      </c>
      <c r="D11" s="2">
        <v>44</v>
      </c>
      <c r="E11" s="2"/>
      <c r="F11" s="2"/>
    </row>
    <row r="12" spans="1:6" x14ac:dyDescent="0.25">
      <c r="A12" s="2" t="s">
        <v>43</v>
      </c>
      <c r="B12" s="2">
        <v>5</v>
      </c>
      <c r="C12" s="2">
        <v>0</v>
      </c>
      <c r="D12" s="2">
        <v>0</v>
      </c>
      <c r="E12" s="2"/>
      <c r="F12" s="2"/>
    </row>
    <row r="13" spans="1:6" x14ac:dyDescent="0.25">
      <c r="A13" s="2" t="s">
        <v>13</v>
      </c>
      <c r="B13" s="2">
        <v>1</v>
      </c>
      <c r="C13" s="2">
        <v>1</v>
      </c>
      <c r="D13" s="2">
        <v>1</v>
      </c>
      <c r="E13" s="2"/>
      <c r="F13" s="2"/>
    </row>
    <row r="14" spans="1:6" x14ac:dyDescent="0.25">
      <c r="A14" s="3" t="s">
        <v>14</v>
      </c>
      <c r="B14" s="4">
        <f>SUM(B2:B13)</f>
        <v>126</v>
      </c>
      <c r="C14" s="4">
        <f>SUM(C2:C13)</f>
        <v>794</v>
      </c>
      <c r="D14" s="4">
        <f>SUM(D2:D13)</f>
        <v>545</v>
      </c>
      <c r="E14" s="4">
        <f>SUM(E2:E13)</f>
        <v>0</v>
      </c>
      <c r="F14" s="4">
        <f>SUM(F2:F13)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zoomScaleNormal="100" workbookViewId="0">
      <selection sqref="A1:M4"/>
    </sheetView>
  </sheetViews>
  <sheetFormatPr baseColWidth="10" defaultColWidth="8.7109375" defaultRowHeight="15" x14ac:dyDescent="0.25"/>
  <cols>
    <col min="1" max="1" width="14" customWidth="1"/>
    <col min="2" max="13" width="16" customWidth="1"/>
  </cols>
  <sheetData>
    <row r="1" spans="1:13" ht="45" x14ac:dyDescent="0.25">
      <c r="A1" s="1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</row>
    <row r="2" spans="1:13" x14ac:dyDescent="0.25">
      <c r="A2" s="4" t="s">
        <v>28</v>
      </c>
      <c r="B2" s="2">
        <v>17.300999999999998</v>
      </c>
      <c r="C2" s="2">
        <v>20</v>
      </c>
      <c r="D2" s="2">
        <f>C2-B2</f>
        <v>2.6990000000000016</v>
      </c>
      <c r="E2" s="6">
        <f>1000/D2</f>
        <v>370.50759540570562</v>
      </c>
      <c r="F2" s="2">
        <v>14.173999999999999</v>
      </c>
      <c r="G2" s="2">
        <v>20</v>
      </c>
      <c r="H2" s="2">
        <f>G2-F2</f>
        <v>5.8260000000000005</v>
      </c>
      <c r="I2" s="6">
        <f>1000/H2</f>
        <v>171.64435290078956</v>
      </c>
      <c r="J2" s="2">
        <v>11.715</v>
      </c>
      <c r="K2" s="2">
        <v>20</v>
      </c>
      <c r="L2" s="2">
        <f>K2-J2</f>
        <v>8.2850000000000001</v>
      </c>
      <c r="M2" s="6">
        <f>1000/L2</f>
        <v>120.70006035003017</v>
      </c>
    </row>
    <row r="3" spans="1:13" x14ac:dyDescent="0.25">
      <c r="A3" s="4" t="s">
        <v>29</v>
      </c>
      <c r="B3" s="2">
        <v>7.3380000000000001</v>
      </c>
      <c r="C3" s="2">
        <v>10</v>
      </c>
      <c r="D3" s="2">
        <f>C3-B3</f>
        <v>2.6619999999999999</v>
      </c>
      <c r="E3" s="6">
        <f>1000/D3</f>
        <v>375.65740045078888</v>
      </c>
      <c r="F3" s="2">
        <v>4.4409999999999998</v>
      </c>
      <c r="G3" s="2">
        <v>10</v>
      </c>
      <c r="H3" s="2">
        <f>G3-F3</f>
        <v>5.5590000000000002</v>
      </c>
      <c r="I3" s="6">
        <f>1000/H3</f>
        <v>179.88846914912753</v>
      </c>
      <c r="J3" s="2">
        <v>1.9790000000000001</v>
      </c>
      <c r="K3" s="2">
        <v>10</v>
      </c>
      <c r="L3" s="2">
        <f>K3-J3</f>
        <v>8.0210000000000008</v>
      </c>
      <c r="M3" s="6">
        <f>1000/L3</f>
        <v>124.67273407305821</v>
      </c>
    </row>
    <row r="4" spans="1:13" x14ac:dyDescent="0.25">
      <c r="A4" s="4" t="s">
        <v>30</v>
      </c>
      <c r="B4" s="2">
        <v>2.3370000000000002</v>
      </c>
      <c r="C4" s="2">
        <v>5</v>
      </c>
      <c r="D4" s="2">
        <f>C4-B4</f>
        <v>2.6629999999999998</v>
      </c>
      <c r="E4" s="6">
        <f>1000/D4</f>
        <v>375.51633496057082</v>
      </c>
      <c r="F4" s="2">
        <v>1.0509999999999999</v>
      </c>
      <c r="G4" s="2">
        <v>5</v>
      </c>
      <c r="H4" s="2">
        <f>G4-F4</f>
        <v>3.9489999999999998</v>
      </c>
      <c r="I4" s="6">
        <f>1000/H4</f>
        <v>253.22866548493292</v>
      </c>
      <c r="J4" s="2">
        <v>0.32800000000000001</v>
      </c>
      <c r="K4" s="2">
        <v>5</v>
      </c>
      <c r="L4" s="2">
        <f>K4-J4</f>
        <v>4.6719999999999997</v>
      </c>
      <c r="M4" s="6">
        <f>1000/L4</f>
        <v>214.04109589041099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365B-C287-4872-9963-1A933BEC3012}">
  <dimension ref="A1:I4"/>
  <sheetViews>
    <sheetView workbookViewId="0">
      <selection activeCell="J46" sqref="J46"/>
    </sheetView>
  </sheetViews>
  <sheetFormatPr baseColWidth="10" defaultRowHeight="15" x14ac:dyDescent="0.25"/>
  <sheetData>
    <row r="1" spans="1:9" ht="75" x14ac:dyDescent="0.25">
      <c r="A1" s="1" t="s">
        <v>15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spans="1:9" x14ac:dyDescent="0.25">
      <c r="A2" s="4" t="s">
        <v>28</v>
      </c>
      <c r="B2" s="2">
        <v>14.795999999999999</v>
      </c>
      <c r="C2" s="2">
        <v>20</v>
      </c>
      <c r="D2" s="2">
        <f>C2-B2</f>
        <v>5.2040000000000006</v>
      </c>
      <c r="E2" s="6">
        <f>1000/D2</f>
        <v>192.1598770176787</v>
      </c>
      <c r="F2" s="2">
        <v>14.87</v>
      </c>
      <c r="G2" s="2">
        <v>20</v>
      </c>
      <c r="H2" s="2">
        <f>G2-F2</f>
        <v>5.1300000000000008</v>
      </c>
      <c r="I2" s="6">
        <f>1000/H2</f>
        <v>194.93177387914227</v>
      </c>
    </row>
    <row r="3" spans="1:9" x14ac:dyDescent="0.25">
      <c r="A3" s="4" t="s">
        <v>29</v>
      </c>
      <c r="B3" s="2">
        <v>4.8289999999999997</v>
      </c>
      <c r="C3" s="2">
        <v>10</v>
      </c>
      <c r="D3" s="2">
        <f>C3-B3</f>
        <v>5.1710000000000003</v>
      </c>
      <c r="E3" s="6">
        <f>1000/D3</f>
        <v>193.38619222587505</v>
      </c>
      <c r="F3" s="2">
        <v>4.8810000000000002</v>
      </c>
      <c r="G3" s="2">
        <v>10</v>
      </c>
      <c r="H3" s="2">
        <f>G3-F3</f>
        <v>5.1189999999999998</v>
      </c>
      <c r="I3" s="6">
        <f>1000/H3</f>
        <v>195.35065442469232</v>
      </c>
    </row>
    <row r="4" spans="1:9" x14ac:dyDescent="0.25">
      <c r="A4" s="4" t="s">
        <v>30</v>
      </c>
      <c r="B4" s="2">
        <v>0.314</v>
      </c>
      <c r="C4" s="2">
        <v>5</v>
      </c>
      <c r="D4" s="2">
        <f>C4-B4</f>
        <v>4.6859999999999999</v>
      </c>
      <c r="E4" s="6">
        <f>1000/D4</f>
        <v>213.40162185232609</v>
      </c>
      <c r="F4" s="2">
        <v>0.82799999999999996</v>
      </c>
      <c r="G4" s="2">
        <v>5</v>
      </c>
      <c r="H4" s="2">
        <f>G4-F4</f>
        <v>4.1719999999999997</v>
      </c>
      <c r="I4" s="6">
        <f>1000/H4</f>
        <v>239.69319271332697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53BA-6B10-47E5-A0CC-D08B6006CEE2}">
  <dimension ref="A1:U4"/>
  <sheetViews>
    <sheetView tabSelected="1" workbookViewId="0">
      <selection activeCell="H12" sqref="H12"/>
    </sheetView>
  </sheetViews>
  <sheetFormatPr baseColWidth="10" defaultRowHeight="15" x14ac:dyDescent="0.25"/>
  <sheetData>
    <row r="1" spans="1:21" ht="60" x14ac:dyDescent="0.25">
      <c r="A1" s="1" t="s">
        <v>15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24</v>
      </c>
      <c r="S1" s="5" t="s">
        <v>25</v>
      </c>
      <c r="T1" s="5" t="s">
        <v>26</v>
      </c>
      <c r="U1" s="5" t="s">
        <v>27</v>
      </c>
    </row>
    <row r="2" spans="1:21" x14ac:dyDescent="0.25">
      <c r="A2" s="4" t="s">
        <v>28</v>
      </c>
      <c r="B2" s="2">
        <v>9.1129999999999995</v>
      </c>
      <c r="C2" s="2">
        <v>20</v>
      </c>
      <c r="D2" s="2">
        <f>C2-B2</f>
        <v>10.887</v>
      </c>
      <c r="E2" s="6">
        <f>1000/D2</f>
        <v>91.852668320014686</v>
      </c>
      <c r="F2" s="2">
        <v>6.9790000000000001</v>
      </c>
      <c r="G2" s="2">
        <v>20</v>
      </c>
      <c r="H2" s="2">
        <f>G2-F2</f>
        <v>13.021000000000001</v>
      </c>
      <c r="I2" s="6">
        <f>1000/H2</f>
        <v>76.799016972582749</v>
      </c>
      <c r="J2" s="2">
        <v>8.8230000000000004</v>
      </c>
      <c r="K2" s="2">
        <v>20</v>
      </c>
      <c r="L2" s="2">
        <f>K2-J2</f>
        <v>11.177</v>
      </c>
      <c r="M2" s="6">
        <f>1000/L2</f>
        <v>89.469446184128117</v>
      </c>
      <c r="N2" s="2">
        <v>11.715</v>
      </c>
      <c r="O2" s="2">
        <v>20</v>
      </c>
      <c r="P2" s="2">
        <f>O2-N2</f>
        <v>8.2850000000000001</v>
      </c>
      <c r="Q2" s="6">
        <f>1000/P2</f>
        <v>120.70006035003017</v>
      </c>
      <c r="R2" s="2">
        <v>11.715</v>
      </c>
      <c r="S2" s="2">
        <v>20</v>
      </c>
      <c r="T2" s="2">
        <f>S2-R2</f>
        <v>8.2850000000000001</v>
      </c>
      <c r="U2" s="6">
        <f>1000/T2</f>
        <v>120.70006035003017</v>
      </c>
    </row>
    <row r="3" spans="1:21" x14ac:dyDescent="0.25">
      <c r="A3" s="4" t="s">
        <v>29</v>
      </c>
      <c r="B3" s="2">
        <v>-0.88700000000000001</v>
      </c>
      <c r="C3" s="2">
        <v>10</v>
      </c>
      <c r="D3" s="2">
        <f>C3-B3</f>
        <v>10.887</v>
      </c>
      <c r="E3" s="6">
        <f>1000/D3</f>
        <v>91.852668320014686</v>
      </c>
      <c r="F3" s="2">
        <v>-0.92800000000000005</v>
      </c>
      <c r="G3" s="2">
        <v>10</v>
      </c>
      <c r="H3" s="2">
        <f>G3-F3</f>
        <v>10.928000000000001</v>
      </c>
      <c r="I3" s="6">
        <f>1000/H3</f>
        <v>91.50805270863836</v>
      </c>
      <c r="J3" s="2">
        <v>0.22700000000000001</v>
      </c>
      <c r="K3" s="2">
        <v>10</v>
      </c>
      <c r="L3" s="2">
        <f>K3-J3</f>
        <v>9.7729999999999997</v>
      </c>
      <c r="M3" s="6">
        <f>1000/L3</f>
        <v>102.32272587741738</v>
      </c>
      <c r="N3" s="2">
        <v>1.9790000000000001</v>
      </c>
      <c r="O3" s="2">
        <v>10</v>
      </c>
      <c r="P3" s="2">
        <f>O3-N3</f>
        <v>8.0210000000000008</v>
      </c>
      <c r="Q3" s="6">
        <f>1000/P3</f>
        <v>124.67273407305821</v>
      </c>
      <c r="R3" s="2">
        <v>1.9790000000000001</v>
      </c>
      <c r="S3" s="2">
        <v>10</v>
      </c>
      <c r="T3" s="2">
        <f>S3-R3</f>
        <v>8.0210000000000008</v>
      </c>
      <c r="U3" s="6">
        <f>1000/T3</f>
        <v>124.67273407305821</v>
      </c>
    </row>
    <row r="4" spans="1:21" x14ac:dyDescent="0.25">
      <c r="A4" s="4" t="s">
        <v>30</v>
      </c>
      <c r="B4" s="2">
        <v>-5.8869999999999996</v>
      </c>
      <c r="C4" s="2">
        <v>5</v>
      </c>
      <c r="D4" s="2">
        <f>C4-B4</f>
        <v>10.887</v>
      </c>
      <c r="E4" s="6">
        <f>1000/D4</f>
        <v>91.852668320014686</v>
      </c>
      <c r="F4" s="2">
        <v>-4.7370000000000001</v>
      </c>
      <c r="G4" s="2">
        <v>5</v>
      </c>
      <c r="H4" s="2">
        <f>G4-F4</f>
        <v>9.7370000000000001</v>
      </c>
      <c r="I4" s="6">
        <f>1000/H4</f>
        <v>102.70103728047653</v>
      </c>
      <c r="J4" s="2">
        <v>-2.823</v>
      </c>
      <c r="K4" s="2">
        <v>5</v>
      </c>
      <c r="L4" s="2">
        <f>K4-J4</f>
        <v>7.8230000000000004</v>
      </c>
      <c r="M4" s="6">
        <f>1000/L4</f>
        <v>127.82819890067748</v>
      </c>
      <c r="N4" s="2">
        <v>0.32800000000000001</v>
      </c>
      <c r="O4" s="2">
        <v>5</v>
      </c>
      <c r="P4" s="2">
        <f>O4-N4</f>
        <v>4.6719999999999997</v>
      </c>
      <c r="Q4" s="6">
        <f>1000/P4</f>
        <v>214.04109589041099</v>
      </c>
      <c r="R4" s="2">
        <v>0.32800000000000001</v>
      </c>
      <c r="S4" s="2">
        <v>5</v>
      </c>
      <c r="T4" s="2">
        <f>S4-R4</f>
        <v>4.6719999999999997</v>
      </c>
      <c r="U4" s="6">
        <f>1000/T4</f>
        <v>214.04109589041099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Celdas_Adders</vt:lpstr>
      <vt:lpstr>Celdas_Mult</vt:lpstr>
      <vt:lpstr>Celdas_Filters</vt:lpstr>
      <vt:lpstr>WNS_Frecuencia_Adders</vt:lpstr>
      <vt:lpstr>WNS_Frecuencia_Multipliers</vt:lpstr>
      <vt:lpstr>WNS_Frecuencia_Filters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 Romero</cp:lastModifiedBy>
  <cp:revision>0</cp:revision>
  <dcterms:created xsi:type="dcterms:W3CDTF">2026-09-09T00:23:50Z</dcterms:created>
  <dcterms:modified xsi:type="dcterms:W3CDTF">2026-09-10T03:02:38Z</dcterms:modified>
  <dc:language>en-US</dc:language>
</cp:coreProperties>
</file>